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13_ncr:9_{F3666293-E925-524E-8CCB-9B7F2096D2E4}" xr6:coauthVersionLast="47" xr6:coauthVersionMax="47" xr10:uidLastSave="{00000000-0000-0000-0000-000000000000}"/>
  <bookViews>
    <workbookView xWindow="-51200" yWindow="-9080" windowWidth="25600" windowHeight="28200" xr2:uid="{2B7A21F3-7BB0-294F-B084-0BE056D29DEE}"/>
  </bookViews>
  <sheets>
    <sheet name="table_results" sheetId="1" r:id="rId1"/>
  </sheets>
  <definedNames>
    <definedName name="_xlchart.v1.0" hidden="1">table_results!$A$10</definedName>
    <definedName name="_xlchart.v1.1" hidden="1">table_results!$A$8</definedName>
    <definedName name="_xlchart.v1.2" hidden="1">table_results!$A$9</definedName>
    <definedName name="_xlchart.v1.3" hidden="1">table_results!$B$10:$G$10</definedName>
    <definedName name="_xlchart.v1.4" hidden="1">table_results!$B$8:$G$8</definedName>
    <definedName name="_xlchart.v1.5" hidden="1">table_results!$B$9:$G$9</definedName>
    <definedName name="_xlchart.v2.10" hidden="1">table_results!$B$8:$G$8</definedName>
    <definedName name="_xlchart.v2.11" hidden="1">table_results!$B$9:$G$9</definedName>
    <definedName name="_xlchart.v2.6" hidden="1">table_results!$A$10</definedName>
    <definedName name="_xlchart.v2.7" hidden="1">table_results!$A$8</definedName>
    <definedName name="_xlchart.v2.8" hidden="1">table_results!$A$9</definedName>
    <definedName name="_xlchart.v2.9" hidden="1">table_results!$B$10:$G$10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7" i="1"/>
</calcChain>
</file>

<file path=xl/sharedStrings.xml><?xml version="1.0" encoding="utf-8"?>
<sst xmlns="http://schemas.openxmlformats.org/spreadsheetml/2006/main" count="17" uniqueCount="17">
  <si>
    <t>Overall</t>
  </si>
  <si>
    <t>&lt;30</t>
  </si>
  <si>
    <t>30-90</t>
  </si>
  <si>
    <t>90-180</t>
  </si>
  <si>
    <t>180-360</t>
  </si>
  <si>
    <t>&gt;360</t>
  </si>
  <si>
    <t>mean open interest</t>
  </si>
  <si>
    <t>mean open trading volume</t>
  </si>
  <si>
    <t>mean strike number</t>
  </si>
  <si>
    <t>CV  open interest</t>
  </si>
  <si>
    <t>CV trading volume</t>
  </si>
  <si>
    <t>CV strike number</t>
  </si>
  <si>
    <t>std dev  open interest</t>
  </si>
  <si>
    <t>std dev  trading volume</t>
  </si>
  <si>
    <t>std dev  strike number</t>
  </si>
  <si>
    <t>metrics</t>
  </si>
  <si>
    <t>percent 30-90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</si>
</sst>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open interest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table_results!$A$2</c:f>
              <c:strCache>
                <c:ptCount val="1"/>
                <c:pt idx="0">
                  <c:v>mean open interest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table_results!$B$2:$G$2</c:f>
              <c:numCache>
                <c:formatCode>0.00</c:formatCode>
                <c:ptCount val="6"/>
                <c:pt idx="0">
                  <c:v>6996251.0517643401</c:v>
                </c:pt>
                <c:pt idx="1">
                  <c:v>1762070.6919269499</c:v>
                </c:pt>
                <c:pt idx="2">
                  <c:v>2234126.18156381</c:v>
                </c:pt>
                <c:pt idx="3">
                  <c:v>1277501.92417873</c:v>
                </c:pt>
                <c:pt idx="4">
                  <c:v>1145346.98087686</c:v>
                </c:pt>
                <c:pt idx="5">
                  <c:v>736708.71672885504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2-834A-85E0-330C614395C9}"/>
            </c:ext>
          </c:extLst>
        </c:ser>
        <c:ser>
          <c:idx val="1"/>
          <c:order val="1"/>
          <c:tx>
            <c:strRef>
              <c:f>table_results!$A$3</c:f>
              <c:strCache>
                <c:ptCount val="1"/>
                <c:pt idx="0">
                  <c:v>std dev  open interest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table_results!$B$3:$G$3</c:f>
              <c:numCache>
                <c:formatCode>0.00</c:formatCode>
                <c:ptCount val="6"/>
                <c:pt idx="0">
                  <c:v>3459120.97411374</c:v>
                </c:pt>
                <c:pt idx="1">
                  <c:v>1070271.0068834201</c:v>
                </c:pt>
                <c:pt idx="2">
                  <c:v>1405997.7963871299</c:v>
                </c:pt>
                <c:pt idx="3">
                  <c:v>842855.94662822702</c:v>
                </c:pt>
                <c:pt idx="4">
                  <c:v>743721.82439177204</c:v>
                </c:pt>
                <c:pt idx="5">
                  <c:v>446572.59461321298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2-834A-85E0-330C614395C9}"/>
            </c:ext>
          </c:extLst>
        </c:ser>
        <c:ser>
          <c:idx val="2"/>
          <c:order val="2"/>
          <c:tx>
            <c:strRef>
              <c:f>table_results!$A$4</c:f>
              <c:strCache>
                <c:ptCount val="1"/>
                <c:pt idx="0">
                  <c:v>CV  open interest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table_results!$B$4:$G$4</c:f>
              <c:numCache>
                <c:formatCode>0.00</c:formatCode>
                <c:ptCount val="6"/>
                <c:pt idx="0">
                  <c:v>49.4424935371839</c:v>
                </c:pt>
                <c:pt idx="1">
                  <c:v>60.739390978292803</c:v>
                </c:pt>
                <c:pt idx="2">
                  <c:v>62.932783653382799</c:v>
                </c:pt>
                <c:pt idx="3">
                  <c:v>65.976882748734297</c:v>
                </c:pt>
                <c:pt idx="4">
                  <c:v>64.934193463572697</c:v>
                </c:pt>
                <c:pt idx="5">
                  <c:v>60.617254075137197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2-834A-85E0-330C6143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214143"/>
        <c:axId val="649854271"/>
      </c:barChart>
      <c:catAx>
        <c:axId val="4782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54271"/>
        <c:crosses val="autoZero"/>
        <c:auto val="1"/>
        <c:lblAlgn val="ctr"/>
        <c:lblOffset val="100"/>
        <c:noMultiLvlLbl val="0"/>
      </c:catAx>
      <c:valAx>
        <c:axId val="6498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trading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table_results!$A$5</c:f>
              <c:strCache>
                <c:ptCount val="1"/>
                <c:pt idx="0">
                  <c:v>mean open trading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table_results!$B$5:$G$5</c:f>
              <c:numCache>
                <c:formatCode>0.00</c:formatCode>
                <c:ptCount val="6"/>
                <c:pt idx="0">
                  <c:v>479710.68319602002</c:v>
                </c:pt>
                <c:pt idx="1">
                  <c:v>223309.06195596501</c:v>
                </c:pt>
                <c:pt idx="2">
                  <c:v>183247.44162909899</c:v>
                </c:pt>
                <c:pt idx="3">
                  <c:v>53003.9545383777</c:v>
                </c:pt>
                <c:pt idx="4">
                  <c:v>29107.2559079602</c:v>
                </c:pt>
                <c:pt idx="5">
                  <c:v>11056.898165422799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D-364B-B476-77DE688DAB6C}"/>
            </c:ext>
          </c:extLst>
        </c:ser>
        <c:ser>
          <c:idx val="1"/>
          <c:order val="1"/>
          <c:tx>
            <c:strRef>
              <c:f>table_results!$A$6</c:f>
              <c:strCache>
                <c:ptCount val="1"/>
                <c:pt idx="0">
                  <c:v>std dev  trading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table_results!$B$6:$G$6</c:f>
              <c:numCache>
                <c:formatCode>0.00</c:formatCode>
                <c:ptCount val="6"/>
                <c:pt idx="0">
                  <c:v>297912.056115388</c:v>
                </c:pt>
                <c:pt idx="1">
                  <c:v>153203.76793586399</c:v>
                </c:pt>
                <c:pt idx="2">
                  <c:v>135010.90904965799</c:v>
                </c:pt>
                <c:pt idx="3">
                  <c:v>48496.7990347866</c:v>
                </c:pt>
                <c:pt idx="4">
                  <c:v>26674.394196770401</c:v>
                </c:pt>
                <c:pt idx="5">
                  <c:v>11005.2875565991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D-364B-B476-77DE688DAB6C}"/>
            </c:ext>
          </c:extLst>
        </c:ser>
        <c:ser>
          <c:idx val="2"/>
          <c:order val="2"/>
          <c:tx>
            <c:strRef>
              <c:f>table_results!$A$7</c:f>
              <c:strCache>
                <c:ptCount val="1"/>
                <c:pt idx="0">
                  <c:v>CV trading volume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table_results!$B$7:$G$7</c:f>
              <c:numCache>
                <c:formatCode>0.00</c:formatCode>
                <c:ptCount val="6"/>
                <c:pt idx="0">
                  <c:v>62.102443525039199</c:v>
                </c:pt>
                <c:pt idx="1">
                  <c:v>68.606158027780594</c:v>
                </c:pt>
                <c:pt idx="2">
                  <c:v>73.676831637805805</c:v>
                </c:pt>
                <c:pt idx="3">
                  <c:v>91.496567486624599</c:v>
                </c:pt>
                <c:pt idx="4">
                  <c:v>91.6417345596481</c:v>
                </c:pt>
                <c:pt idx="5">
                  <c:v>99.533227058334205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D-364B-B476-77DE688D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011007"/>
        <c:axId val="478541375"/>
      </c:barChart>
      <c:catAx>
        <c:axId val="6090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41375"/>
        <c:crosses val="autoZero"/>
        <c:auto val="1"/>
        <c:lblAlgn val="ctr"/>
        <c:lblOffset val="100"/>
        <c:noMultiLvlLbl val="0"/>
      </c:catAx>
      <c:valAx>
        <c:axId val="478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strike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table_results!$A$8</c:f>
              <c:strCache>
                <c:ptCount val="1"/>
                <c:pt idx="0">
                  <c:v>mean strike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table_results!$B$8:$G$8</c:f>
              <c:numCache>
                <c:formatCode>0.00</c:formatCode>
                <c:ptCount val="6"/>
                <c:pt idx="0">
                  <c:v>216.55790455464</c:v>
                </c:pt>
                <c:pt idx="1">
                  <c:v>147.01484895033201</c:v>
                </c:pt>
                <c:pt idx="2">
                  <c:v>179.20907819057899</c:v>
                </c:pt>
                <c:pt idx="3">
                  <c:v>138.32150085629701</c:v>
                </c:pt>
                <c:pt idx="4">
                  <c:v>82.848880597014897</c:v>
                </c:pt>
                <c:pt idx="5">
                  <c:v>78.299129353233795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1-DC47-AC94-EDE9C70FEC90}"/>
            </c:ext>
          </c:extLst>
        </c:ser>
        <c:ser>
          <c:idx val="1"/>
          <c:order val="1"/>
          <c:tx>
            <c:strRef>
              <c:f>table_results!$A$9</c:f>
              <c:strCache>
                <c:ptCount val="1"/>
                <c:pt idx="0">
                  <c:v>std dev  strike 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table_results!$B$9:$G$9</c:f>
              <c:numCache>
                <c:formatCode>0.00</c:formatCode>
                <c:ptCount val="6"/>
                <c:pt idx="0">
                  <c:v>148.05468405788099</c:v>
                </c:pt>
                <c:pt idx="1">
                  <c:v>118.153385697356</c:v>
                </c:pt>
                <c:pt idx="2">
                  <c:v>137.08066643081301</c:v>
                </c:pt>
                <c:pt idx="3">
                  <c:v>132.14267855700899</c:v>
                </c:pt>
                <c:pt idx="4">
                  <c:v>60.259815726371002</c:v>
                </c:pt>
                <c:pt idx="5">
                  <c:v>50.987966595469501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1-DC47-AC94-EDE9C70FEC90}"/>
            </c:ext>
          </c:extLst>
        </c:ser>
        <c:ser>
          <c:idx val="2"/>
          <c:order val="2"/>
          <c:tx>
            <c:strRef>
              <c:f>table_results!$A$10</c:f>
              <c:strCache>
                <c:ptCount val="1"/>
                <c:pt idx="0">
                  <c:v>CV strike 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table_results!$B$1:$G$1</c:f>
              <c:strCache>
                <c:ptCount val="6"/>
                <c:pt idx="0">
                  <c:v>Overall</c:v>
                </c:pt>
                <c:pt idx="1">
                  <c:v>&lt;30</c:v>
                </c:pt>
                <c:pt idx="2">
                  <c:v>30-90</c:v>
                </c:pt>
                <c:pt idx="3">
                  <c:v>90-180</c:v>
                </c:pt>
                <c:pt idx="4">
                  <c:v>180-360</c:v>
                </c:pt>
                <c:pt idx="5">
                  <c:v>&gt;360</c:v>
                </c:pt>
              </c:strCache>
            </c:strRef>
          </c:cat>
          <c:val>
            <c:numRef>
              <c:f>table_results!$B$10:$G$10</c:f>
              <c:numCache>
                <c:formatCode>0.00</c:formatCode>
                <c:ptCount val="6"/>
                <c:pt idx="0">
                  <c:v>68.367250025974101</c:v>
                </c:pt>
                <c:pt idx="1">
                  <c:v>80.368334587258602</c:v>
                </c:pt>
                <c:pt idx="2">
                  <c:v>76.492032554865801</c:v>
                </c:pt>
                <c:pt idx="3">
                  <c:v>95.532999381124696</c:v>
                </c:pt>
                <c:pt idx="4">
                  <c:v>72.734616680556798</c:v>
                </c:pt>
                <c:pt idx="5">
                  <c:v>65.119455371522207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1-DC47-AC94-EDE9C70F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383167"/>
        <c:axId val="624600255"/>
      </c:barChart>
      <c:catAx>
        <c:axId val="47838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600255"/>
        <c:crosses val="autoZero"/>
        <c:auto val="1"/>
        <c:lblAlgn val="ctr"/>
        <c:lblOffset val="100"/>
        <c:noMultiLvlLbl val="0"/>
      </c:catAx>
      <c:valAx>
        <c:axId val="6246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8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12</xdr:row>
      <xdr:rowOff>127000</xdr:rowOff>
    </xdr:from>
    <xdr:to>
      <xdr:col>16</xdr:col>
      <xdr:colOff>736600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FE326-2BED-FD68-EDE9-EFF4E56DE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177800</xdr:colOff>
      <xdr:row>32</xdr:row>
      <xdr:rowOff>12700</xdr:rowOff>
    </xdr:from>
    <xdr:to>
      <xdr:col>16</xdr:col>
      <xdr:colOff>723900</xdr:colOff>
      <xdr:row>49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39DE3-5578-BE05-A280-D27A80498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63500</xdr:colOff>
      <xdr:row>50</xdr:row>
      <xdr:rowOff>0</xdr:rowOff>
    </xdr:from>
    <xdr:to>
      <xdr:col>16</xdr:col>
      <xdr:colOff>749300</xdr:colOff>
      <xdr:row>66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B6F937-3ED6-6DB3-7811-78D60F28A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0D91-2FDA-9546-830D-C6B1D370C68F}">
  <dimension ref="A1:G20"/>
  <sheetViews>
    <sheetView tabSelected="1" workbookViewId="0">
      <selection activeCell="B20" sqref="B20"/>
    </sheetView>
  </sheetViews>
  <sheetFormatPr baseColWidth="10" defaultRowHeight="16" x14ac:dyDescent="0.2"/>
  <cols>
    <col min="1" max="1" width="22.6640625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s="2">
        <v>6996251.0517643401</v>
      </c>
      <c r="C2" s="2">
        <v>1762070.6919269499</v>
      </c>
      <c r="D2" s="2">
        <v>2234126.18156381</v>
      </c>
      <c r="E2" s="2">
        <v>1277501.92417873</v>
      </c>
      <c r="F2" s="2">
        <v>1145346.98087686</v>
      </c>
      <c r="G2" s="2">
        <v>736708.71672885504</v>
      </c>
    </row>
    <row r="3" spans="1:7" x14ac:dyDescent="0.2">
      <c r="A3" t="s">
        <v>12</v>
      </c>
      <c r="B3" s="2">
        <v>3459120.97411374</v>
      </c>
      <c r="C3" s="2">
        <v>1070271.0068834201</v>
      </c>
      <c r="D3" s="2">
        <v>1405997.7963871299</v>
      </c>
      <c r="E3" s="2">
        <v>842855.94662822702</v>
      </c>
      <c r="F3" s="2">
        <v>743721.82439177204</v>
      </c>
      <c r="G3" s="2">
        <v>446572.59461321298</v>
      </c>
    </row>
    <row r="4" spans="1:7" x14ac:dyDescent="0.2">
      <c r="A4" t="s">
        <v>9</v>
      </c>
      <c r="B4" s="2">
        <v>49.4424935371839</v>
      </c>
      <c r="C4" s="2">
        <v>60.739390978292803</v>
      </c>
      <c r="D4" s="2">
        <v>62.932783653382799</v>
      </c>
      <c r="E4" s="2">
        <v>65.976882748734297</v>
      </c>
      <c r="F4" s="2">
        <v>64.934193463572697</v>
      </c>
      <c r="G4" s="2">
        <v>60.617254075137197</v>
      </c>
    </row>
    <row r="5" spans="1:7" x14ac:dyDescent="0.2">
      <c r="A5" t="s">
        <v>7</v>
      </c>
      <c r="B5" s="2">
        <v>479710.68319602002</v>
      </c>
      <c r="C5" s="2">
        <v>223309.06195596501</v>
      </c>
      <c r="D5" s="2">
        <v>183247.44162909899</v>
      </c>
      <c r="E5" s="2">
        <v>53003.9545383777</v>
      </c>
      <c r="F5" s="2">
        <v>29107.2559079602</v>
      </c>
      <c r="G5" s="2">
        <v>11056.898165422799</v>
      </c>
    </row>
    <row r="6" spans="1:7" x14ac:dyDescent="0.2">
      <c r="A6" t="s">
        <v>13</v>
      </c>
      <c r="B6" s="2">
        <v>297912.056115388</v>
      </c>
      <c r="C6" s="2">
        <v>153203.76793586399</v>
      </c>
      <c r="D6" s="2">
        <v>135010.90904965799</v>
      </c>
      <c r="E6" s="2">
        <v>48496.7990347866</v>
      </c>
      <c r="F6" s="2">
        <v>26674.394196770401</v>
      </c>
      <c r="G6" s="2">
        <v>11005.2875565991</v>
      </c>
    </row>
    <row r="7" spans="1:7" x14ac:dyDescent="0.2">
      <c r="A7" t="s">
        <v>10</v>
      </c>
      <c r="B7" s="2">
        <v>62.102443525039199</v>
      </c>
      <c r="C7" s="2">
        <v>68.606158027780594</v>
      </c>
      <c r="D7" s="2">
        <v>73.676831637805805</v>
      </c>
      <c r="E7" s="2">
        <v>91.496567486624599</v>
      </c>
      <c r="F7" s="2">
        <v>91.6417345596481</v>
      </c>
      <c r="G7" s="2">
        <v>99.533227058334205</v>
      </c>
    </row>
    <row r="8" spans="1:7" x14ac:dyDescent="0.2">
      <c r="A8" t="s">
        <v>8</v>
      </c>
      <c r="B8" s="2">
        <v>216.55790455464</v>
      </c>
      <c r="C8" s="2">
        <v>147.01484895033201</v>
      </c>
      <c r="D8" s="2">
        <v>179.20907819057899</v>
      </c>
      <c r="E8" s="2">
        <v>138.32150085629701</v>
      </c>
      <c r="F8" s="2">
        <v>82.848880597014897</v>
      </c>
      <c r="G8" s="2">
        <v>78.299129353233795</v>
      </c>
    </row>
    <row r="9" spans="1:7" x14ac:dyDescent="0.2">
      <c r="A9" t="s">
        <v>14</v>
      </c>
      <c r="B9" s="2">
        <v>148.05468405788099</v>
      </c>
      <c r="C9" s="2">
        <v>118.153385697356</v>
      </c>
      <c r="D9" s="2">
        <v>137.08066643081301</v>
      </c>
      <c r="E9" s="2">
        <v>132.14267855700899</v>
      </c>
      <c r="F9" s="2">
        <v>60.259815726371002</v>
      </c>
      <c r="G9" s="2">
        <v>50.987966595469501</v>
      </c>
    </row>
    <row r="10" spans="1:7" x14ac:dyDescent="0.2">
      <c r="A10" t="s">
        <v>11</v>
      </c>
      <c r="B10" s="2">
        <v>68.367250025974101</v>
      </c>
      <c r="C10" s="2">
        <v>80.368334587258602</v>
      </c>
      <c r="D10" s="2">
        <v>76.492032554865801</v>
      </c>
      <c r="E10" s="2">
        <v>95.532999381124696</v>
      </c>
      <c r="F10" s="2">
        <v>72.734616680556798</v>
      </c>
      <c r="G10" s="2">
        <v>65.119455371522207</v>
      </c>
    </row>
    <row r="15" spans="1:7" x14ac:dyDescent="0.2">
      <c r="B15" t="s">
        <v>15</v>
      </c>
    </row>
    <row r="16" spans="1:7" x14ac:dyDescent="0.2">
      <c r="B16" t="s">
        <v>16</v>
      </c>
    </row>
    <row r="17" spans="2:2" x14ac:dyDescent="0.2">
      <c r="B17" s="3">
        <f>D2/B2</f>
        <v>0.31933190576407344</v>
      </c>
    </row>
    <row r="20" spans="2:2" x14ac:dyDescent="0.2">
      <c r="B20" s="1">
        <f>C5/G5</f>
        <v>20.196356936188351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2026-08-31T00:23:29Z</dcterms:created>
  <dcterms:modified xsi:type="dcterms:W3CDTF">2026-08-31T09:52:47Z</dcterms:modified>
</cp:coreProperties>
</file>